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0E6E44AC-D6DB-4C17-8AB9-491753D27E9D}" xr6:coauthVersionLast="47" xr6:coauthVersionMax="47" xr10:uidLastSave="{00000000-0000-0000-0000-000000000000}"/>
  <bookViews>
    <workbookView xWindow="-120" yWindow="-120" windowWidth="20730" windowHeight="11160" firstSheet="2" activeTab="6" xr2:uid="{97238263-99B2-4E55-9EAE-A2C207EB3731}"/>
  </bookViews>
  <sheets>
    <sheet name="Raw_Data" sheetId="1" r:id="rId1"/>
    <sheet name="Cleaning_Data" sheetId="2" r:id="rId2"/>
    <sheet name="Sheet7" sheetId="7" r:id="rId3"/>
    <sheet name="Sheet8" sheetId="8" r:id="rId4"/>
    <sheet name="Sheet9" sheetId="9" r:id="rId5"/>
    <sheet name="Cleaned_Data" sheetId="3" r:id="rId6"/>
    <sheet name="dashboard" sheetId="5" r:id="rId7"/>
  </sheets>
  <calcPr calcId="191029"/>
  <pivotCaches>
    <pivotCache cacheId="8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" i="5" l="1"/>
  <c r="E5" i="5"/>
  <c r="H5" i="5"/>
  <c r="Q15" i="2"/>
  <c r="Q14" i="2"/>
  <c r="Q13" i="2"/>
  <c r="Q12" i="2"/>
  <c r="Q11" i="2"/>
  <c r="Q10" i="2"/>
  <c r="Q9" i="2"/>
  <c r="Q8" i="2"/>
  <c r="Q7" i="2"/>
  <c r="Q6" i="2"/>
  <c r="Q5" i="2"/>
  <c r="Q4" i="2"/>
  <c r="Q3" i="2"/>
  <c r="Q2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F7" i="2"/>
  <c r="D8" i="1"/>
</calcChain>
</file>

<file path=xl/sharedStrings.xml><?xml version="1.0" encoding="utf-8"?>
<sst xmlns="http://schemas.openxmlformats.org/spreadsheetml/2006/main" count="316" uniqueCount="104">
  <si>
    <t>Customer_ID</t>
  </si>
  <si>
    <t>Full_Name</t>
  </si>
  <si>
    <t>Email</t>
  </si>
  <si>
    <t>Phone</t>
  </si>
  <si>
    <t>Country</t>
  </si>
  <si>
    <t>Order_Date</t>
  </si>
  <si>
    <t>Sales_Amount</t>
  </si>
  <si>
    <t>Gender</t>
  </si>
  <si>
    <t>Age</t>
  </si>
  <si>
    <t>C001</t>
  </si>
  <si>
    <t>john doe</t>
  </si>
  <si>
    <t>JOHNDOE@GMAIL.COM</t>
  </si>
  <si>
    <t>0803-456-789</t>
  </si>
  <si>
    <t>Nigeria</t>
  </si>
  <si>
    <t>M</t>
  </si>
  <si>
    <t>C002</t>
  </si>
  <si>
    <t>MARY ANN</t>
  </si>
  <si>
    <t>Nigera</t>
  </si>
  <si>
    <t>Female</t>
  </si>
  <si>
    <t>C003</t>
  </si>
  <si>
    <t>Peter Smith</t>
  </si>
  <si>
    <t>petersmith@email.com</t>
  </si>
  <si>
    <t>USA</t>
  </si>
  <si>
    <t>15-01-2023</t>
  </si>
  <si>
    <t>USD 450</t>
  </si>
  <si>
    <t>Male</t>
  </si>
  <si>
    <t>C004</t>
  </si>
  <si>
    <t>ANNA BROWN</t>
  </si>
  <si>
    <t>annabrown@email</t>
  </si>
  <si>
    <t>United States</t>
  </si>
  <si>
    <t>F</t>
  </si>
  <si>
    <t>C005</t>
  </si>
  <si>
    <t>james lee</t>
  </si>
  <si>
    <t>jameslee@gmail.com</t>
  </si>
  <si>
    <t>UK</t>
  </si>
  <si>
    <t>£350</t>
  </si>
  <si>
    <t>C006</t>
  </si>
  <si>
    <t>John Doe</t>
  </si>
  <si>
    <t>johndoe@gmail.com</t>
  </si>
  <si>
    <t>C007</t>
  </si>
  <si>
    <t>linda white</t>
  </si>
  <si>
    <t>linda.white@mail.com</t>
  </si>
  <si>
    <t>Usa</t>
  </si>
  <si>
    <t>female</t>
  </si>
  <si>
    <t>C008</t>
  </si>
  <si>
    <t>unknown@email.com</t>
  </si>
  <si>
    <t>0803 456 111</t>
  </si>
  <si>
    <t>abc</t>
  </si>
  <si>
    <t>C009</t>
  </si>
  <si>
    <t>ROBERT KING</t>
  </si>
  <si>
    <t>robertking@gmail.com</t>
  </si>
  <si>
    <t>NIGERIA</t>
  </si>
  <si>
    <t>C010</t>
  </si>
  <si>
    <t>Susan Green</t>
  </si>
  <si>
    <t>susangreen@gmail.com</t>
  </si>
  <si>
    <t>Canada</t>
  </si>
  <si>
    <t>C011</t>
  </si>
  <si>
    <t>Michael Stone</t>
  </si>
  <si>
    <t>michaelstone@gmail.com</t>
  </si>
  <si>
    <t>0803-456-9000</t>
  </si>
  <si>
    <t>2023.02.15</t>
  </si>
  <si>
    <t>C012</t>
  </si>
  <si>
    <t>Rachel Adams</t>
  </si>
  <si>
    <t>+44 803 222 111</t>
  </si>
  <si>
    <t>15/02/2023</t>
  </si>
  <si>
    <t>NaN</t>
  </si>
  <si>
    <t>C013</t>
  </si>
  <si>
    <t>David Gold</t>
  </si>
  <si>
    <t>davidgold@gmail.com</t>
  </si>
  <si>
    <t>₦800</t>
  </si>
  <si>
    <t>C014</t>
  </si>
  <si>
    <t>Sarah Mills</t>
  </si>
  <si>
    <t>sarahmills@gmail.com</t>
  </si>
  <si>
    <t>18-02-2023</t>
  </si>
  <si>
    <t>C015</t>
  </si>
  <si>
    <t>Chris Paul</t>
  </si>
  <si>
    <t>chrispaul@gmail.com</t>
  </si>
  <si>
    <t>Age_Clean</t>
  </si>
  <si>
    <t>Gender_Clean</t>
  </si>
  <si>
    <t>Order_Date_Clean</t>
  </si>
  <si>
    <t>Country_Clean</t>
  </si>
  <si>
    <t>Phone_Clean</t>
  </si>
  <si>
    <t>Email_Clean</t>
  </si>
  <si>
    <t>Full_Name_Clean</t>
  </si>
  <si>
    <t>SUSAn Green</t>
  </si>
  <si>
    <t>sUSAngreen@gmail.com</t>
  </si>
  <si>
    <t>Sales_Amount_Clean</t>
  </si>
  <si>
    <t>Mary Ann</t>
  </si>
  <si>
    <t>Anna Brown</t>
  </si>
  <si>
    <t>James Lee</t>
  </si>
  <si>
    <t>Linda White</t>
  </si>
  <si>
    <t>Unknown</t>
  </si>
  <si>
    <t>Robert King</t>
  </si>
  <si>
    <t>Not Provided</t>
  </si>
  <si>
    <t>Sales Performance Dashboard</t>
  </si>
  <si>
    <t>Row Labels</t>
  </si>
  <si>
    <t>Grand Total</t>
  </si>
  <si>
    <t>Sum of Sales_Amount</t>
  </si>
  <si>
    <t>Total Sales</t>
  </si>
  <si>
    <t>Total Customers</t>
  </si>
  <si>
    <t>Average Age</t>
  </si>
  <si>
    <t>Total Sales by Country</t>
  </si>
  <si>
    <t>Sales Distribution by Gender</t>
  </si>
  <si>
    <t>Sales Trend Over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</si>
</sst>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14" fontId="0" fillId="0" borderId="0" xfId="0" applyNumberFormat="1"/>
    <xf numFmtId="6" fontId="0" fillId="0" borderId="0" xfId="0" applyNumberFormat="1"/>
    <xf numFmtId="0" fontId="0" fillId="0" borderId="0" xfId="0" applyAlignment="1">
      <alignment horizontal="right"/>
    </xf>
    <xf numFmtId="1" fontId="0" fillId="0" borderId="0" xfId="0" applyNumberFormat="1"/>
    <xf numFmtId="1" fontId="0" fillId="0" borderId="0" xfId="0" applyNumberFormat="1" applyAlignment="1">
      <alignment horizontal="right"/>
    </xf>
    <xf numFmtId="0" fontId="0" fillId="0" borderId="0" xfId="0" applyNumberFormat="1"/>
    <xf numFmtId="0" fontId="3" fillId="2" borderId="0" xfId="0" applyFont="1" applyFill="1"/>
    <xf numFmtId="1" fontId="3" fillId="2" borderId="2" xfId="0" applyNumberFormat="1" applyFont="1" applyFill="1" applyBorder="1" applyAlignment="1">
      <alignment horizontal="right"/>
    </xf>
    <xf numFmtId="1" fontId="0" fillId="0" borderId="0" xfId="0" applyNumberFormat="1" applyBorder="1" applyAlignment="1">
      <alignment horizontal="right"/>
    </xf>
    <xf numFmtId="0" fontId="0" fillId="0" borderId="0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3" fillId="2" borderId="1" xfId="0" applyFont="1" applyFill="1" applyBorder="1" applyAlignment="1"/>
    <xf numFmtId="0" fontId="3" fillId="2" borderId="2" xfId="0" applyFont="1" applyFill="1" applyBorder="1" applyAlignment="1"/>
    <xf numFmtId="0" fontId="3" fillId="2" borderId="3" xfId="0" applyFont="1" applyFill="1" applyBorder="1" applyAlignment="1"/>
    <xf numFmtId="0" fontId="0" fillId="0" borderId="4" xfId="0" applyBorder="1" applyAlignment="1"/>
    <xf numFmtId="0" fontId="0" fillId="0" borderId="0" xfId="0" applyBorder="1" applyAlignment="1"/>
    <xf numFmtId="14" fontId="0" fillId="0" borderId="0" xfId="0" applyNumberFormat="1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14" fontId="0" fillId="0" borderId="7" xfId="0" applyNumberFormat="1" applyBorder="1" applyAlignment="1"/>
    <xf numFmtId="0" fontId="0" fillId="0" borderId="8" xfId="0" applyBorder="1" applyAlignment="1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2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0" fillId="0" borderId="2" xfId="0" applyBorder="1" applyAlignment="1"/>
    <xf numFmtId="0" fontId="5" fillId="0" borderId="0" xfId="0" applyFont="1" applyAlignment="1">
      <alignment horizontal="center"/>
    </xf>
    <xf numFmtId="0" fontId="0" fillId="0" borderId="0" xfId="0" applyAlignment="1"/>
    <xf numFmtId="0" fontId="5" fillId="0" borderId="2" xfId="0" applyFont="1" applyBorder="1" applyAlignment="1">
      <alignment horizontal="center"/>
    </xf>
    <xf numFmtId="0" fontId="0" fillId="0" borderId="1" xfId="0" applyBorder="1" applyAlignment="1"/>
    <xf numFmtId="0" fontId="4" fillId="0" borderId="2" xfId="0" applyFont="1" applyBorder="1" applyAlignment="1"/>
    <xf numFmtId="0" fontId="0" fillId="0" borderId="3" xfId="0" applyBorder="1" applyAlignment="1"/>
    <xf numFmtId="2" fontId="0" fillId="0" borderId="0" xfId="0" applyNumberFormat="1" applyBorder="1" applyAlignment="1"/>
    <xf numFmtId="0" fontId="5" fillId="0" borderId="0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0" xfId="0" applyFont="1" applyBorder="1" applyAlignment="1">
      <alignment horizontal="center"/>
    </xf>
  </cellXfs>
  <cellStyles count="1">
    <cellStyle name="Normal" xfId="0" builtinId="0"/>
  </cellStyles>
  <dxfs count="6">
    <dxf>
      <numFmt numFmtId="19" formatCode="m/d/yyyy"/>
    </dxf>
    <dxf>
      <numFmt numFmtId="1" formatCode="0"/>
    </dxf>
    <dxf>
      <numFmt numFmtId="0" formatCode="General"/>
    </dxf>
    <dxf>
      <numFmt numFmtId="1" formatCode="0"/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[sales-data-cleaning-excel.xlsx]Sheet7!PivotTable2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Sheet7!$A$4:$A$8</c:f>
              <c:strCache>
                <c:ptCount val="4"/>
                <c:pt idx="0">
                  <c:v>Canada</c:v>
                </c:pt>
                <c:pt idx="1">
                  <c:v>Nigeria</c:v>
                </c:pt>
                <c:pt idx="2">
                  <c:v>UK</c:v>
                </c:pt>
                <c:pt idx="3">
                  <c:v>USA</c:v>
                </c:pt>
              </c:strCache>
            </c:strRef>
          </c:cat>
          <c:val>
            <c:numRef>
              <c:f>Sheet7!$B$4:$B$8</c:f>
              <c:numCache>
                <c:formatCode>General</c:formatCode>
                <c:ptCount val="4"/>
                <c:pt idx="0">
                  <c:v>900</c:v>
                </c:pt>
                <c:pt idx="1">
                  <c:v>3150</c:v>
                </c:pt>
                <c:pt idx="2">
                  <c:v>850</c:v>
                </c:pt>
                <c:pt idx="3">
                  <c:v>1550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88-4706-994E-CD35ADAF95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17183007"/>
        <c:axId val="917189663"/>
      </c:barChart>
      <c:catAx>
        <c:axId val="917183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189663"/>
        <c:crosses val="autoZero"/>
        <c:auto val="1"/>
        <c:lblAlgn val="ctr"/>
        <c:lblOffset val="100"/>
        <c:noMultiLvlLbl val="0"/>
      </c:catAx>
      <c:valAx>
        <c:axId val="917189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1830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[sales-data-cleaning-excel.xlsx]Sheet8!PivotTable3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531-4AB6-B94B-BBBF1355C34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531-4AB6-B94B-BBBF1355C346}"/>
              </c:ext>
            </c:extLst>
          </c:dPt>
          <c:cat>
            <c:strRef>
              <c:f>Sheet8!$A$4:$A$6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Sheet8!$B$4:$B$6</c:f>
              <c:numCache>
                <c:formatCode>General</c:formatCode>
                <c:ptCount val="2"/>
                <c:pt idx="0">
                  <c:v>2350</c:v>
                </c:pt>
                <c:pt idx="1">
                  <c:v>4100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531-4AB6-B94B-BBBF1355C3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[sales-data-cleaning-excel.xlsx]Sheet9!PivotTable4</c:name>
    <c:fmtId val="26"/>
  </c:pivotSource>
  <c:chart>
    <c:title>
      <c:layout>
        <c:manualLayout>
          <c:xMode val="edge"/>
          <c:yMode val="edge"/>
          <c:x val="0.44388888888888889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>
            <a:noFill/>
          </a:ln>
          <a:effectLst>
            <a:innerShdw dist="12700" dir="16200000">
              <a:schemeClr val="lt1"/>
            </a:innerShdw>
          </a:effectLst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>
            <a:noFill/>
          </a:ln>
          <a:effectLst>
            <a:innerShdw dist="12700" dir="16200000">
              <a:schemeClr val="l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>
            <a:noFill/>
          </a:ln>
          <a:effectLst>
            <a:innerShdw dist="12700" dir="16200000">
              <a:schemeClr val="l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Sheet9!$B$3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cat>
            <c:strRef>
              <c:f>Sheet9!$A$4:$A$18</c:f>
              <c:strCache>
                <c:ptCount val="14"/>
                <c:pt idx="0">
                  <c:v>15/02/2023</c:v>
                </c:pt>
                <c:pt idx="1">
                  <c:v>15-01-2023</c:v>
                </c:pt>
                <c:pt idx="2">
                  <c:v>18-02-2023</c:v>
                </c:pt>
                <c:pt idx="3">
                  <c:v>1/15/2023</c:v>
                </c:pt>
                <c:pt idx="4">
                  <c:v>1/20/2023</c:v>
                </c:pt>
                <c:pt idx="5">
                  <c:v>1/25/2023</c:v>
                </c:pt>
                <c:pt idx="6">
                  <c:v>2/1/2023</c:v>
                </c:pt>
                <c:pt idx="7">
                  <c:v>2/5/2023</c:v>
                </c:pt>
                <c:pt idx="8">
                  <c:v>2/10/2023</c:v>
                </c:pt>
                <c:pt idx="9">
                  <c:v>2/15/2023</c:v>
                </c:pt>
                <c:pt idx="10">
                  <c:v>2/18/2023</c:v>
                </c:pt>
                <c:pt idx="11">
                  <c:v>2/20/2023</c:v>
                </c:pt>
                <c:pt idx="12">
                  <c:v>10/2/2023</c:v>
                </c:pt>
                <c:pt idx="13">
                  <c:v>12/1/2023</c:v>
                </c:pt>
              </c:strCache>
            </c:strRef>
          </c:cat>
          <c:val>
            <c:numRef>
              <c:f>Sheet9!$B$4:$B$18</c:f>
              <c:numCache>
                <c:formatCode>General</c:formatCode>
                <c:ptCount val="14"/>
                <c:pt idx="0">
                  <c:v>500</c:v>
                </c:pt>
                <c:pt idx="1">
                  <c:v>450</c:v>
                </c:pt>
                <c:pt idx="2">
                  <c:v>450</c:v>
                </c:pt>
                <c:pt idx="3">
                  <c:v>300</c:v>
                </c:pt>
                <c:pt idx="4">
                  <c:v>700</c:v>
                </c:pt>
                <c:pt idx="5">
                  <c:v>350</c:v>
                </c:pt>
                <c:pt idx="6">
                  <c:v>400</c:v>
                </c:pt>
                <c:pt idx="8">
                  <c:v>600</c:v>
                </c:pt>
                <c:pt idx="9">
                  <c:v>900</c:v>
                </c:pt>
                <c:pt idx="10">
                  <c:v>800</c:v>
                </c:pt>
                <c:pt idx="11">
                  <c:v>500</c:v>
                </c:pt>
                <c:pt idx="12">
                  <c:v>0</c:v>
                </c:pt>
                <c:pt idx="13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E9-483B-A6CF-CEDAC56A4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7390687"/>
        <c:axId val="1087391103"/>
      </c:areaChart>
      <c:catAx>
        <c:axId val="1087390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391103"/>
        <c:crosses val="autoZero"/>
        <c:auto val="1"/>
        <c:lblAlgn val="ctr"/>
        <c:lblOffset val="100"/>
        <c:noMultiLvlLbl val="0"/>
      </c:catAx>
      <c:valAx>
        <c:axId val="108739110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3906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79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19050</xdr:rowOff>
    </xdr:from>
    <xdr:to>
      <xdr:col>4</xdr:col>
      <xdr:colOff>1173616</xdr:colOff>
      <xdr:row>21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24F66C-B383-430F-AA65-BED3BBFAE3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1140958</xdr:colOff>
      <xdr:row>7</xdr:row>
      <xdr:rowOff>4638</xdr:rowOff>
    </xdr:from>
    <xdr:to>
      <xdr:col>9</xdr:col>
      <xdr:colOff>258535</xdr:colOff>
      <xdr:row>20</xdr:row>
      <xdr:rowOff>176893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E109AB-02EF-4C65-BE97-3B4C0400A0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419099</xdr:colOff>
      <xdr:row>22</xdr:row>
      <xdr:rowOff>13236</xdr:rowOff>
    </xdr:from>
    <xdr:to>
      <xdr:col>7</xdr:col>
      <xdr:colOff>1374073</xdr:colOff>
      <xdr:row>36</xdr:row>
      <xdr:rowOff>89436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6062B3F-0400-4A3D-919A-336CD14166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42.19251296296" createdVersion="7" refreshedVersion="7" minRefreshableVersion="3" recordCount="14" xr:uid="{43B08B8D-97B0-4998-806F-C8A73A17021A}">
  <cacheSource type="worksheet">
    <worksheetSource ref="A1:I15" sheet="Cleaned_Data"/>
  </cacheSource>
  <cacheFields count="9">
    <cacheField name="Customer_ID" numFmtId="0">
      <sharedItems/>
    </cacheField>
    <cacheField name="Full_Name" numFmtId="0">
      <sharedItems/>
    </cacheField>
    <cacheField name="Email" numFmtId="0">
      <sharedItems/>
    </cacheField>
    <cacheField name="Phone" numFmtId="1">
      <sharedItems containsBlank="1" containsMixedTypes="1" containsNumber="1" containsInteger="1" minValue="803456789" maxValue="234803567890"/>
    </cacheField>
    <cacheField name="Country" numFmtId="0">
      <sharedItems count="4">
        <s v="Nigeria"/>
        <s v="USA"/>
        <s v="UK"/>
        <s v="Canada"/>
      </sharedItems>
    </cacheField>
    <cacheField name="Order_Date" numFmtId="0">
      <sharedItems containsDate="1" containsMixedTypes="1" minDate="2023-01-15T00:00:00" maxDate="2023-12-02T00:00:00" count="14">
        <d v="2023-01-15T00:00:00"/>
        <s v="15-01-2023"/>
        <d v="2023-01-20T00:00:00"/>
        <d v="2023-01-25T00:00:00"/>
        <d v="2023-12-01T00:00:00"/>
        <d v="2023-02-01T00:00:00"/>
        <d v="2023-02-05T00:00:00"/>
        <d v="2023-02-10T00:00:00"/>
        <d v="2023-10-02T00:00:00"/>
        <d v="2023-02-15T00:00:00"/>
        <s v="15/02/2023"/>
        <d v="2023-02-18T00:00:00"/>
        <s v="18-02-2023"/>
        <d v="2023-02-20T00:00:00"/>
      </sharedItems>
    </cacheField>
    <cacheField name="Sales_Amount" numFmtId="0">
      <sharedItems containsString="0" containsBlank="1" containsNumber="1" containsInteger="1" minValue="0" maxValue="900"/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25" maxValue="5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s v="C002"/>
    <s v="Mary Ann"/>
    <s v="Not Provided"/>
    <n v="234803567890"/>
    <x v="0"/>
    <x v="0"/>
    <n v="300"/>
    <x v="0"/>
    <n v="29"/>
  </r>
  <r>
    <s v="C003"/>
    <s v="Peter Smith"/>
    <s v="petersmith@email.com"/>
    <n v="8034567890"/>
    <x v="1"/>
    <x v="1"/>
    <n v="450"/>
    <x v="1"/>
    <n v="45"/>
  </r>
  <r>
    <s v="C004"/>
    <s v="Anna Brown"/>
    <s v="annabrown@email"/>
    <n v="8034567890"/>
    <x v="1"/>
    <x v="2"/>
    <n v="700"/>
    <x v="0"/>
    <n v="47"/>
  </r>
  <r>
    <s v="C005"/>
    <s v="James Lee"/>
    <s v="jameslee@gmail.com"/>
    <m/>
    <x v="2"/>
    <x v="3"/>
    <n v="350"/>
    <x v="1"/>
    <n v="34"/>
  </r>
  <r>
    <s v="C006"/>
    <s v="John Doe"/>
    <s v="johndoe@gmail.com"/>
    <n v="803456789"/>
    <x v="0"/>
    <x v="4"/>
    <n v="500"/>
    <x v="1"/>
    <n v="25"/>
  </r>
  <r>
    <s v="C007"/>
    <s v="Linda White"/>
    <s v="linda.white@mail.com"/>
    <m/>
    <x v="1"/>
    <x v="5"/>
    <n v="400"/>
    <x v="0"/>
    <n v="47"/>
  </r>
  <r>
    <s v="C008"/>
    <s v="Unknown"/>
    <s v="unknown@email.com"/>
    <s v="0803 456 111"/>
    <x v="0"/>
    <x v="6"/>
    <m/>
    <x v="1"/>
    <n v="30"/>
  </r>
  <r>
    <s v="C009"/>
    <s v="Robert King"/>
    <s v="robertking@gmail.com"/>
    <n v="8034561234"/>
    <x v="0"/>
    <x v="7"/>
    <n v="600"/>
    <x v="1"/>
    <n v="47"/>
  </r>
  <r>
    <s v="C010"/>
    <s v="Susan Green"/>
    <s v="susangreen@gmail.com"/>
    <n v="8034560000"/>
    <x v="3"/>
    <x v="8"/>
    <n v="0"/>
    <x v="0"/>
    <n v="41"/>
  </r>
  <r>
    <s v="C011"/>
    <s v="Michael Stone"/>
    <s v="michaelstone@gmail.com"/>
    <s v="0803-456-9000"/>
    <x v="3"/>
    <x v="9"/>
    <n v="900"/>
    <x v="1"/>
    <n v="38"/>
  </r>
  <r>
    <s v="C012"/>
    <s v="Rachel Adams"/>
    <s v="Not Provided"/>
    <s v="+44 803 222 111"/>
    <x v="2"/>
    <x v="10"/>
    <n v="500"/>
    <x v="0"/>
    <n v="47"/>
  </r>
  <r>
    <s v="C013"/>
    <s v="David Gold"/>
    <s v="davidgold@gmail.com"/>
    <n v="8031234567"/>
    <x v="0"/>
    <x v="11"/>
    <n v="800"/>
    <x v="1"/>
    <n v="52"/>
  </r>
  <r>
    <s v="C014"/>
    <s v="Sarah Mills"/>
    <s v="sarahmills@gmail.com"/>
    <n v="8039876543"/>
    <x v="0"/>
    <x v="12"/>
    <n v="450"/>
    <x v="0"/>
    <n v="27"/>
  </r>
  <r>
    <s v="C015"/>
    <s v="Chris Paul"/>
    <s v="chrispaul@gmail.com"/>
    <n v="8031239876"/>
    <x v="0"/>
    <x v="13"/>
    <n v="500"/>
    <x v="1"/>
    <n v="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D52B6A-6F2E-4BD3-9BD5-56AC88E8ECC3}" name="PivotTable2" cacheId="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9">
  <location ref="A3:B8" firstHeaderRow="1" firstDataRow="1" firstDataCol="1"/>
  <pivotFields count="9">
    <pivotField showAll="0"/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_Amount" fld="6" baseField="0" baseItem="0"/>
  </dataField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14E76E-CAFB-40C1-A355-3EC835F92066}" name="PivotTable3" cacheId="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>
  <location ref="A3:B6" firstHeaderRow="1" firstDataRow="1" firstDataCol="1"/>
  <pivotFields count="9"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3">
        <item x="0"/>
        <item x="1"/>
        <item t="default"/>
      </items>
    </pivotField>
    <pivotField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Sum of Sales_Amount" fld="6" baseField="0" baseItem="0"/>
  </dataFields>
  <chartFormats count="3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5AAE39-5C50-4F38-91C1-0B2C638967A5}" name="PivotTable4" cacheId="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7">
  <location ref="A3:B18" firstHeaderRow="1" firstDataRow="1" firstDataCol="1"/>
  <pivotFields count="9">
    <pivotField showAll="0"/>
    <pivotField showAll="0"/>
    <pivotField showAll="0"/>
    <pivotField showAll="0"/>
    <pivotField showAll="0"/>
    <pivotField axis="axisRow" showAll="0">
      <items count="15">
        <item x="10"/>
        <item x="1"/>
        <item x="12"/>
        <item x="0"/>
        <item x="2"/>
        <item x="3"/>
        <item x="5"/>
        <item x="6"/>
        <item x="7"/>
        <item x="9"/>
        <item x="11"/>
        <item x="13"/>
        <item x="8"/>
        <item x="4"/>
        <item t="default"/>
      </items>
    </pivotField>
    <pivotField dataField="1" showAll="0"/>
    <pivotField showAll="0"/>
    <pivotField showAll="0"/>
  </pivotFields>
  <rowFields count="1">
    <field x="5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Sales_Amount" fld="6" baseField="0" baseItem="0"/>
  </dataFields>
  <chartFormats count="1">
    <chartFormat chart="2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2DC58D-0230-4A98-9CA9-478337DD2DB1}" name="Table1" displayName="Table1" ref="A1:I16" totalsRowShown="0">
  <autoFilter ref="A1:I16" xr:uid="{4A2DC58D-0230-4A98-9CA9-478337DD2DB1}"/>
  <tableColumns count="9">
    <tableColumn id="1" xr3:uid="{3339C3B5-ED25-4EE3-AFA1-1A151FB6BAA8}" name="Customer_ID"/>
    <tableColumn id="2" xr3:uid="{FFF9F0F9-B884-4989-907A-00C2A280FCB2}" name="Full_Name"/>
    <tableColumn id="3" xr3:uid="{95FAAA1B-9E60-4D7B-8E16-54132BE4F3D9}" name="Email"/>
    <tableColumn id="4" xr3:uid="{3E4BC845-DC6A-4F04-969A-2EE984D24F19}" name="Phone"/>
    <tableColumn id="5" xr3:uid="{CA5078A7-92DD-4392-9BFF-25779D3B49C3}" name="Country"/>
    <tableColumn id="6" xr3:uid="{D3B538A6-0CF9-414E-99E2-F108923DB44D}" name="Order_Date"/>
    <tableColumn id="7" xr3:uid="{555A3307-5955-4BB6-AB91-28E27D4DB164}" name="Sales_Amount"/>
    <tableColumn id="8" xr3:uid="{BDC0F5BD-482B-472D-8AE2-25FC858FBAFF}" name="Gender"/>
    <tableColumn id="9" xr3:uid="{64581374-ADF1-400F-95D5-B548483251EF}" name="A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CF1307-ED75-4885-AC4A-B62523F02ABB}" name="Table2" displayName="Table2" ref="A1:Q1048575" totalsRowShown="0">
  <autoFilter ref="A1:Q1048575" xr:uid="{FDCF1307-ED75-4885-AC4A-B62523F02ABB}"/>
  <tableColumns count="17">
    <tableColumn id="1" xr3:uid="{56324648-315D-42D6-AED7-9A5FB8ED94E2}" name="Customer_ID"/>
    <tableColumn id="2" xr3:uid="{387AFBDF-C2AF-4FA2-82AC-5FF33ABAACBD}" name="Full_Name"/>
    <tableColumn id="10" xr3:uid="{2FBFB838-E199-4A4A-910D-74D43D7D1607}" name="Full_Name_Clean" dataDxfId="5">
      <calculatedColumnFormula>IF(B2="","Unknown",PROPER(TRIM(B2)))</calculatedColumnFormula>
    </tableColumn>
    <tableColumn id="3" xr3:uid="{530EB631-D44F-4866-B8C7-698EDE0BC099}" name="Email"/>
    <tableColumn id="12" xr3:uid="{B787150A-EFEE-459A-81F4-6BF7578F936B}" name="Email_Clean" dataDxfId="4">
      <calculatedColumnFormula>IF(D2="","Not Provided",LOWER(TRIM(D2)))</calculatedColumnFormula>
    </tableColumn>
    <tableColumn id="4" xr3:uid="{A5C52944-E109-40F1-A9E5-7402DD76526E}" name="Phone"/>
    <tableColumn id="11" xr3:uid="{689A4997-6FEE-4E51-B6FA-E66226D13A67}" name="Phone_Clean" dataDxfId="3"/>
    <tableColumn id="5" xr3:uid="{63F07B8B-D7E0-4B7B-BF6A-07F7FF84C956}" name="Country"/>
    <tableColumn id="14" xr3:uid="{A54E473F-B63C-45C1-BDC2-6287B845511D}" name="Country_Clean"/>
    <tableColumn id="6" xr3:uid="{8E60F30B-5901-4118-A73A-FB57434EB6AB}" name="Order_Date"/>
    <tableColumn id="13" xr3:uid="{0CF74FB0-BB17-4B06-8877-F33E385D9E7E}" name="Order_Date_Clean"/>
    <tableColumn id="15" xr3:uid="{3ABE04EA-41A1-4128-940B-7FCB1DB2EF6E}" name="Sales_Amount" dataDxfId="0"/>
    <tableColumn id="16" xr3:uid="{A65E513D-EC35-41B1-AE15-076F90E7B3ED}" name="Sales_Amount_Clean"/>
    <tableColumn id="8" xr3:uid="{8EA1D7BC-81E6-4F61-A1BE-4E47C17C14B2}" name="Gender"/>
    <tableColumn id="17" xr3:uid="{79F05F3C-DB63-4A4A-B078-4CB04A65BB61}" name="Gender_Clean" dataDxfId="2">
      <calculatedColumnFormula>IF(OR(N2="M",N2="Male"),"Male",IF(OR(N2="F",N2="Female"),"Female","Unknown"))</calculatedColumnFormula>
    </tableColumn>
    <tableColumn id="9" xr3:uid="{E6E0EF27-5278-40AC-A51F-AB15E4420C45}" name="Age"/>
    <tableColumn id="18" xr3:uid="{2CA0C32A-284E-4810-9A09-D90B51DE72F8}" name="Age_Clean" dataDxfId="1">
      <calculatedColumnFormula>IF(OR(P2&lt;10,P2&gt;100),AVERAGE(P$1:P$1048575),P2)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EFED5-C607-445F-BC1C-1F9CDBB1511C}">
  <dimension ref="A1:I16"/>
  <sheetViews>
    <sheetView workbookViewId="0">
      <selection activeCell="G1" sqref="G1:G1048576"/>
    </sheetView>
  </sheetViews>
  <sheetFormatPr defaultRowHeight="15" x14ac:dyDescent="0.25"/>
  <cols>
    <col min="1" max="1" width="14.5703125" customWidth="1"/>
    <col min="2" max="2" width="12.7109375" customWidth="1"/>
    <col min="5" max="5" width="10.140625" customWidth="1"/>
    <col min="6" max="6" width="13.42578125" customWidth="1"/>
    <col min="7" max="7" width="15.85546875" customWidth="1"/>
    <col min="8" max="8" width="9.85546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1">
        <v>45261</v>
      </c>
      <c r="G2" s="2">
        <v>500</v>
      </c>
      <c r="H2" t="s">
        <v>14</v>
      </c>
      <c r="I2">
        <v>25</v>
      </c>
    </row>
    <row r="3" spans="1:9" x14ac:dyDescent="0.25">
      <c r="A3" t="s">
        <v>15</v>
      </c>
      <c r="B3" t="s">
        <v>16</v>
      </c>
      <c r="D3">
        <v>234803567890</v>
      </c>
      <c r="E3" t="s">
        <v>17</v>
      </c>
      <c r="F3" s="1">
        <v>44941</v>
      </c>
      <c r="G3">
        <v>300</v>
      </c>
      <c r="H3" t="s">
        <v>18</v>
      </c>
      <c r="I3">
        <v>29</v>
      </c>
    </row>
    <row r="4" spans="1:9" x14ac:dyDescent="0.25">
      <c r="A4" t="s">
        <v>19</v>
      </c>
      <c r="B4" t="s">
        <v>20</v>
      </c>
      <c r="C4" t="s">
        <v>21</v>
      </c>
      <c r="D4">
        <v>8034567890</v>
      </c>
      <c r="E4" t="s">
        <v>22</v>
      </c>
      <c r="F4" t="s">
        <v>23</v>
      </c>
      <c r="G4" t="s">
        <v>24</v>
      </c>
      <c r="H4" t="s">
        <v>25</v>
      </c>
      <c r="I4">
        <v>45</v>
      </c>
    </row>
    <row r="5" spans="1:9" x14ac:dyDescent="0.25">
      <c r="A5" t="s">
        <v>26</v>
      </c>
      <c r="B5" t="s">
        <v>27</v>
      </c>
      <c r="C5" t="s">
        <v>28</v>
      </c>
      <c r="D5">
        <v>8034567890</v>
      </c>
      <c r="E5" t="s">
        <v>29</v>
      </c>
      <c r="F5" s="1">
        <v>44946</v>
      </c>
      <c r="G5">
        <v>700</v>
      </c>
      <c r="H5" t="s">
        <v>30</v>
      </c>
      <c r="I5">
        <v>200</v>
      </c>
    </row>
    <row r="6" spans="1:9" x14ac:dyDescent="0.25">
      <c r="A6" t="s">
        <v>31</v>
      </c>
      <c r="B6" t="s">
        <v>32</v>
      </c>
      <c r="C6" t="s">
        <v>33</v>
      </c>
      <c r="E6" t="s">
        <v>34</v>
      </c>
      <c r="F6" s="1">
        <v>44951</v>
      </c>
      <c r="G6" t="s">
        <v>35</v>
      </c>
      <c r="H6" t="s">
        <v>14</v>
      </c>
      <c r="I6">
        <v>34</v>
      </c>
    </row>
    <row r="7" spans="1:9" x14ac:dyDescent="0.25">
      <c r="A7" t="s">
        <v>36</v>
      </c>
      <c r="B7" t="s">
        <v>37</v>
      </c>
      <c r="C7" t="s">
        <v>38</v>
      </c>
      <c r="D7">
        <v>803456789</v>
      </c>
      <c r="E7" t="s">
        <v>13</v>
      </c>
      <c r="F7" s="1">
        <v>45261</v>
      </c>
      <c r="G7">
        <v>500</v>
      </c>
      <c r="H7" t="s">
        <v>14</v>
      </c>
      <c r="I7">
        <v>25</v>
      </c>
    </row>
    <row r="8" spans="1:9" x14ac:dyDescent="0.25">
      <c r="A8" t="s">
        <v>39</v>
      </c>
      <c r="B8" t="s">
        <v>40</v>
      </c>
      <c r="C8" t="s">
        <v>41</v>
      </c>
      <c r="D8">
        <f>1-803-555-8899</f>
        <v>-10256</v>
      </c>
      <c r="E8" t="s">
        <v>42</v>
      </c>
      <c r="F8" s="1">
        <v>44958</v>
      </c>
      <c r="G8">
        <v>400</v>
      </c>
      <c r="H8" t="s">
        <v>43</v>
      </c>
    </row>
    <row r="9" spans="1:9" x14ac:dyDescent="0.25">
      <c r="A9" t="s">
        <v>44</v>
      </c>
      <c r="C9" t="s">
        <v>45</v>
      </c>
      <c r="D9" t="s">
        <v>46</v>
      </c>
      <c r="E9" t="s">
        <v>13</v>
      </c>
      <c r="F9" s="1">
        <v>44962</v>
      </c>
      <c r="G9" t="s">
        <v>47</v>
      </c>
      <c r="H9" t="s">
        <v>14</v>
      </c>
      <c r="I9">
        <v>30</v>
      </c>
    </row>
    <row r="10" spans="1:9" x14ac:dyDescent="0.25">
      <c r="A10" t="s">
        <v>48</v>
      </c>
      <c r="B10" t="s">
        <v>49</v>
      </c>
      <c r="C10" t="s">
        <v>50</v>
      </c>
      <c r="D10">
        <v>8034561234</v>
      </c>
      <c r="E10" t="s">
        <v>51</v>
      </c>
      <c r="F10" s="1">
        <v>44967</v>
      </c>
      <c r="G10">
        <v>600</v>
      </c>
      <c r="H10" t="s">
        <v>25</v>
      </c>
      <c r="I10">
        <v>8</v>
      </c>
    </row>
    <row r="11" spans="1:9" x14ac:dyDescent="0.25">
      <c r="A11" t="s">
        <v>52</v>
      </c>
      <c r="B11" t="s">
        <v>53</v>
      </c>
      <c r="C11" t="s">
        <v>54</v>
      </c>
      <c r="D11">
        <v>8034560000</v>
      </c>
      <c r="E11" t="s">
        <v>55</v>
      </c>
      <c r="F11" s="1">
        <v>45201</v>
      </c>
      <c r="G11">
        <v>-250</v>
      </c>
      <c r="H11" t="s">
        <v>30</v>
      </c>
      <c r="I11">
        <v>41</v>
      </c>
    </row>
    <row r="12" spans="1:9" x14ac:dyDescent="0.25">
      <c r="A12" t="s">
        <v>56</v>
      </c>
      <c r="B12" t="s">
        <v>57</v>
      </c>
      <c r="C12" t="s">
        <v>58</v>
      </c>
      <c r="D12" t="s">
        <v>59</v>
      </c>
      <c r="E12" t="s">
        <v>55</v>
      </c>
      <c r="F12" t="s">
        <v>60</v>
      </c>
      <c r="G12">
        <v>900</v>
      </c>
      <c r="H12" t="s">
        <v>14</v>
      </c>
      <c r="I12">
        <v>38</v>
      </c>
    </row>
    <row r="13" spans="1:9" x14ac:dyDescent="0.25">
      <c r="A13" t="s">
        <v>61</v>
      </c>
      <c r="B13" t="s">
        <v>62</v>
      </c>
      <c r="D13" t="s">
        <v>63</v>
      </c>
      <c r="E13" t="s">
        <v>34</v>
      </c>
      <c r="F13" t="s">
        <v>64</v>
      </c>
      <c r="G13">
        <v>500</v>
      </c>
      <c r="H13" t="s">
        <v>18</v>
      </c>
      <c r="I13" t="s">
        <v>65</v>
      </c>
    </row>
    <row r="14" spans="1:9" x14ac:dyDescent="0.25">
      <c r="A14" t="s">
        <v>66</v>
      </c>
      <c r="B14" t="s">
        <v>67</v>
      </c>
      <c r="C14" t="s">
        <v>68</v>
      </c>
      <c r="D14">
        <v>8031234567</v>
      </c>
      <c r="E14" t="s">
        <v>13</v>
      </c>
      <c r="F14" s="1">
        <v>44975</v>
      </c>
      <c r="G14" t="s">
        <v>69</v>
      </c>
      <c r="H14" t="s">
        <v>14</v>
      </c>
      <c r="I14">
        <v>52</v>
      </c>
    </row>
    <row r="15" spans="1:9" x14ac:dyDescent="0.25">
      <c r="A15" t="s">
        <v>70</v>
      </c>
      <c r="B15" t="s">
        <v>71</v>
      </c>
      <c r="C15" t="s">
        <v>72</v>
      </c>
      <c r="D15">
        <v>8039876543</v>
      </c>
      <c r="E15" t="s">
        <v>13</v>
      </c>
      <c r="F15" t="s">
        <v>73</v>
      </c>
      <c r="G15">
        <v>450</v>
      </c>
      <c r="H15" t="s">
        <v>18</v>
      </c>
      <c r="I15">
        <v>27</v>
      </c>
    </row>
    <row r="16" spans="1:9" x14ac:dyDescent="0.25">
      <c r="A16" t="s">
        <v>74</v>
      </c>
      <c r="B16" t="s">
        <v>75</v>
      </c>
      <c r="C16" t="s">
        <v>76</v>
      </c>
      <c r="D16">
        <v>8031239876</v>
      </c>
      <c r="E16" t="s">
        <v>13</v>
      </c>
      <c r="F16" s="1">
        <v>44977</v>
      </c>
      <c r="G16">
        <v>500</v>
      </c>
      <c r="H16" t="s">
        <v>25</v>
      </c>
      <c r="I16">
        <v>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3D66D-A0EC-40BE-957E-417EEFDC424C}">
  <dimension ref="A1:Q15"/>
  <sheetViews>
    <sheetView topLeftCell="H1" workbookViewId="0">
      <selection activeCell="Q1" sqref="Q1:Q1048576"/>
    </sheetView>
  </sheetViews>
  <sheetFormatPr defaultRowHeight="15" x14ac:dyDescent="0.25"/>
  <cols>
    <col min="1" max="1" width="14.5703125" customWidth="1"/>
    <col min="2" max="2" width="16.42578125" customWidth="1"/>
    <col min="3" max="3" width="26.5703125" style="6" customWidth="1"/>
    <col min="4" max="4" width="26.42578125" customWidth="1"/>
    <col min="5" max="5" width="18.140625" style="6" customWidth="1"/>
    <col min="6" max="6" width="17.28515625" customWidth="1"/>
    <col min="7" max="7" width="17.28515625" style="5" customWidth="1"/>
    <col min="8" max="9" width="15.85546875" customWidth="1"/>
    <col min="10" max="10" width="17.28515625" style="1" customWidth="1"/>
    <col min="11" max="11" width="19.28515625" style="1" customWidth="1"/>
    <col min="12" max="12" width="15.85546875" customWidth="1"/>
    <col min="13" max="13" width="19.7109375" customWidth="1"/>
    <col min="15" max="15" width="9.140625" style="6"/>
    <col min="16" max="16" width="15.7109375" customWidth="1"/>
    <col min="17" max="17" width="9.140625" style="4"/>
  </cols>
  <sheetData>
    <row r="1" spans="1:17" x14ac:dyDescent="0.25">
      <c r="A1" t="s">
        <v>0</v>
      </c>
      <c r="B1" t="s">
        <v>1</v>
      </c>
      <c r="C1" t="s">
        <v>83</v>
      </c>
      <c r="D1" t="s">
        <v>2</v>
      </c>
      <c r="E1" t="s">
        <v>82</v>
      </c>
      <c r="F1" t="s">
        <v>3</v>
      </c>
      <c r="G1" t="s">
        <v>81</v>
      </c>
      <c r="H1" t="s">
        <v>4</v>
      </c>
      <c r="I1" t="s">
        <v>80</v>
      </c>
      <c r="J1" t="s">
        <v>5</v>
      </c>
      <c r="K1" t="s">
        <v>79</v>
      </c>
      <c r="L1" t="s">
        <v>6</v>
      </c>
      <c r="M1" t="s">
        <v>86</v>
      </c>
      <c r="N1" t="s">
        <v>7</v>
      </c>
      <c r="O1" t="s">
        <v>78</v>
      </c>
      <c r="P1" t="s">
        <v>8</v>
      </c>
      <c r="Q1" t="s">
        <v>77</v>
      </c>
    </row>
    <row r="2" spans="1:17" x14ac:dyDescent="0.25">
      <c r="A2" t="s">
        <v>15</v>
      </c>
      <c r="B2" t="s">
        <v>16</v>
      </c>
      <c r="C2" t="str">
        <f t="shared" ref="C2:C15" si="0">IF(B2="","Unknown",PROPER(TRIM(B2)))</f>
        <v>Mary Ann</v>
      </c>
      <c r="E2" t="str">
        <f t="shared" ref="E2:E15" si="1">IF(D2="","Not Provided",LOWER(TRIM(D2)))</f>
        <v>Not Provided</v>
      </c>
      <c r="F2">
        <v>234803567890</v>
      </c>
      <c r="G2" s="5">
        <v>234803567890</v>
      </c>
      <c r="H2" t="s">
        <v>13</v>
      </c>
      <c r="I2" t="s">
        <v>13</v>
      </c>
      <c r="J2" s="1">
        <v>44941</v>
      </c>
      <c r="K2" s="1">
        <v>44941</v>
      </c>
      <c r="L2">
        <v>300</v>
      </c>
      <c r="M2" s="3">
        <v>300</v>
      </c>
      <c r="N2" t="s">
        <v>18</v>
      </c>
      <c r="O2" t="str">
        <f t="shared" ref="O2:O15" si="2">IF(OR(N2="M",N2="Male"),"Male",IF(OR(N2="F",N2="Female"),"Female","Unknown"))</f>
        <v>Female</v>
      </c>
      <c r="P2">
        <v>29</v>
      </c>
      <c r="Q2" s="4">
        <f>IF(OR(P2&lt;10,P2&gt;100),AVERAGE(P$1:P$1048575),P2)</f>
        <v>29</v>
      </c>
    </row>
    <row r="3" spans="1:17" x14ac:dyDescent="0.25">
      <c r="A3" t="s">
        <v>19</v>
      </c>
      <c r="B3" t="s">
        <v>20</v>
      </c>
      <c r="C3" t="str">
        <f t="shared" si="0"/>
        <v>Peter Smith</v>
      </c>
      <c r="D3" t="s">
        <v>21</v>
      </c>
      <c r="E3" t="str">
        <f t="shared" si="1"/>
        <v>petersmith@email.com</v>
      </c>
      <c r="F3">
        <v>8034567890</v>
      </c>
      <c r="G3" s="5">
        <v>8034567890</v>
      </c>
      <c r="H3" t="s">
        <v>22</v>
      </c>
      <c r="I3" t="s">
        <v>22</v>
      </c>
      <c r="J3" t="s">
        <v>23</v>
      </c>
      <c r="K3" s="3" t="s">
        <v>23</v>
      </c>
      <c r="L3">
        <v>450</v>
      </c>
      <c r="M3" s="3">
        <v>450</v>
      </c>
      <c r="N3" t="s">
        <v>25</v>
      </c>
      <c r="O3" t="str">
        <f t="shared" si="2"/>
        <v>Male</v>
      </c>
      <c r="P3">
        <v>45</v>
      </c>
      <c r="Q3" s="4">
        <f>IF(OR(P3&lt;10,P3&gt;100),AVERAGE(P$1:P$1048575),P3)</f>
        <v>45</v>
      </c>
    </row>
    <row r="4" spans="1:17" x14ac:dyDescent="0.25">
      <c r="A4" t="s">
        <v>26</v>
      </c>
      <c r="B4" t="s">
        <v>27</v>
      </c>
      <c r="C4" t="str">
        <f t="shared" si="0"/>
        <v>Anna Brown</v>
      </c>
      <c r="D4" t="s">
        <v>28</v>
      </c>
      <c r="E4" t="str">
        <f t="shared" si="1"/>
        <v>annabrown@email</v>
      </c>
      <c r="F4">
        <v>8034567890</v>
      </c>
      <c r="G4" s="5">
        <v>8034567890</v>
      </c>
      <c r="H4" t="s">
        <v>22</v>
      </c>
      <c r="I4" t="s">
        <v>22</v>
      </c>
      <c r="J4" s="1">
        <v>44946</v>
      </c>
      <c r="K4" s="1">
        <v>44946</v>
      </c>
      <c r="L4">
        <v>700</v>
      </c>
      <c r="M4" s="3">
        <v>700</v>
      </c>
      <c r="N4" t="s">
        <v>30</v>
      </c>
      <c r="O4" t="str">
        <f t="shared" si="2"/>
        <v>Female</v>
      </c>
      <c r="P4">
        <v>200</v>
      </c>
      <c r="Q4" s="4">
        <f>IF(OR(P4&lt;10,P4&gt;100),AVERAGE(P$1:P$1048575),P4)</f>
        <v>47</v>
      </c>
    </row>
    <row r="5" spans="1:17" x14ac:dyDescent="0.25">
      <c r="A5" t="s">
        <v>31</v>
      </c>
      <c r="B5" t="s">
        <v>32</v>
      </c>
      <c r="C5" t="str">
        <f t="shared" si="0"/>
        <v>James Lee</v>
      </c>
      <c r="D5" t="s">
        <v>33</v>
      </c>
      <c r="E5" t="str">
        <f t="shared" si="1"/>
        <v>jameslee@gmail.com</v>
      </c>
      <c r="H5" t="s">
        <v>34</v>
      </c>
      <c r="I5" t="s">
        <v>34</v>
      </c>
      <c r="J5" s="1">
        <v>44951</v>
      </c>
      <c r="K5" s="1">
        <v>44951</v>
      </c>
      <c r="L5">
        <v>350</v>
      </c>
      <c r="M5" s="3">
        <v>350</v>
      </c>
      <c r="N5" t="s">
        <v>14</v>
      </c>
      <c r="O5" t="str">
        <f t="shared" si="2"/>
        <v>Male</v>
      </c>
      <c r="P5">
        <v>34</v>
      </c>
      <c r="Q5" s="4">
        <f>IF(OR(P5&lt;10,P5&gt;100),AVERAGE(P$1:P$1048575),P5)</f>
        <v>34</v>
      </c>
    </row>
    <row r="6" spans="1:17" x14ac:dyDescent="0.25">
      <c r="A6" t="s">
        <v>36</v>
      </c>
      <c r="B6" t="s">
        <v>37</v>
      </c>
      <c r="C6" t="str">
        <f t="shared" si="0"/>
        <v>John Doe</v>
      </c>
      <c r="D6" t="s">
        <v>38</v>
      </c>
      <c r="E6" t="str">
        <f t="shared" si="1"/>
        <v>johndoe@gmail.com</v>
      </c>
      <c r="F6">
        <v>803456789</v>
      </c>
      <c r="G6" s="5">
        <v>803456789</v>
      </c>
      <c r="H6" t="s">
        <v>13</v>
      </c>
      <c r="I6" t="s">
        <v>13</v>
      </c>
      <c r="J6" s="1">
        <v>45261</v>
      </c>
      <c r="K6" s="1">
        <v>45261</v>
      </c>
      <c r="L6">
        <v>500</v>
      </c>
      <c r="M6" s="3">
        <v>500</v>
      </c>
      <c r="N6" t="s">
        <v>14</v>
      </c>
      <c r="O6" t="str">
        <f t="shared" si="2"/>
        <v>Male</v>
      </c>
      <c r="P6">
        <v>25</v>
      </c>
      <c r="Q6" s="4">
        <f>IF(OR(P6&lt;10,P6&gt;100),AVERAGE(P$1:P$1048575),P6)</f>
        <v>25</v>
      </c>
    </row>
    <row r="7" spans="1:17" x14ac:dyDescent="0.25">
      <c r="A7" t="s">
        <v>39</v>
      </c>
      <c r="B7" t="s">
        <v>40</v>
      </c>
      <c r="C7" t="str">
        <f t="shared" si="0"/>
        <v>Linda White</v>
      </c>
      <c r="D7" t="s">
        <v>41</v>
      </c>
      <c r="E7" t="str">
        <f t="shared" si="1"/>
        <v>linda.white@mail.com</v>
      </c>
      <c r="F7">
        <f>1-803-555-8899</f>
        <v>-10256</v>
      </c>
      <c r="H7" t="s">
        <v>22</v>
      </c>
      <c r="I7" t="s">
        <v>22</v>
      </c>
      <c r="J7" s="1">
        <v>44958</v>
      </c>
      <c r="K7" s="1">
        <v>44958</v>
      </c>
      <c r="L7">
        <v>400</v>
      </c>
      <c r="M7" s="3">
        <v>400</v>
      </c>
      <c r="N7" t="s">
        <v>43</v>
      </c>
      <c r="O7" t="str">
        <f t="shared" si="2"/>
        <v>Female</v>
      </c>
      <c r="Q7" s="4">
        <f>IF(OR(P7&lt;10,P7&gt;100),AVERAGE(P$1:P$1048575),P7)</f>
        <v>47</v>
      </c>
    </row>
    <row r="8" spans="1:17" x14ac:dyDescent="0.25">
      <c r="A8" t="s">
        <v>44</v>
      </c>
      <c r="C8" t="str">
        <f t="shared" si="0"/>
        <v>Unknown</v>
      </c>
      <c r="D8" t="s">
        <v>45</v>
      </c>
      <c r="E8" t="str">
        <f t="shared" si="1"/>
        <v>unknown@email.com</v>
      </c>
      <c r="F8" t="s">
        <v>46</v>
      </c>
      <c r="G8" s="5" t="s">
        <v>46</v>
      </c>
      <c r="H8" t="s">
        <v>13</v>
      </c>
      <c r="I8" t="s">
        <v>13</v>
      </c>
      <c r="J8" s="1">
        <v>44962</v>
      </c>
      <c r="K8" s="1">
        <v>44962</v>
      </c>
      <c r="M8" s="3"/>
      <c r="N8" t="s">
        <v>14</v>
      </c>
      <c r="O8" t="str">
        <f t="shared" si="2"/>
        <v>Male</v>
      </c>
      <c r="P8">
        <v>30</v>
      </c>
      <c r="Q8" s="4">
        <f>IF(OR(P8&lt;10,P8&gt;100),AVERAGE(P$1:P$1048575),P8)</f>
        <v>30</v>
      </c>
    </row>
    <row r="9" spans="1:17" x14ac:dyDescent="0.25">
      <c r="A9" t="s">
        <v>48</v>
      </c>
      <c r="B9" t="s">
        <v>49</v>
      </c>
      <c r="C9" t="str">
        <f t="shared" si="0"/>
        <v>Robert King</v>
      </c>
      <c r="D9" t="s">
        <v>50</v>
      </c>
      <c r="E9" t="str">
        <f t="shared" si="1"/>
        <v>robertking@gmail.com</v>
      </c>
      <c r="F9">
        <v>8034561234</v>
      </c>
      <c r="G9" s="5">
        <v>8034561234</v>
      </c>
      <c r="H9" t="s">
        <v>13</v>
      </c>
      <c r="I9" t="s">
        <v>13</v>
      </c>
      <c r="J9" s="1">
        <v>44967</v>
      </c>
      <c r="K9" s="1">
        <v>44967</v>
      </c>
      <c r="L9">
        <v>600</v>
      </c>
      <c r="M9" s="3">
        <v>600</v>
      </c>
      <c r="N9" t="s">
        <v>25</v>
      </c>
      <c r="O9" t="str">
        <f t="shared" si="2"/>
        <v>Male</v>
      </c>
      <c r="P9">
        <v>8</v>
      </c>
      <c r="Q9" s="4">
        <f>IF(OR(P9&lt;10,P9&gt;100),AVERAGE(P$1:P$1048575),P9)</f>
        <v>47</v>
      </c>
    </row>
    <row r="10" spans="1:17" x14ac:dyDescent="0.25">
      <c r="A10" t="s">
        <v>52</v>
      </c>
      <c r="B10" t="s">
        <v>84</v>
      </c>
      <c r="C10" t="str">
        <f t="shared" si="0"/>
        <v>Susan Green</v>
      </c>
      <c r="D10" t="s">
        <v>85</v>
      </c>
      <c r="E10" t="str">
        <f t="shared" si="1"/>
        <v>susangreen@gmail.com</v>
      </c>
      <c r="F10">
        <v>8034560000</v>
      </c>
      <c r="G10" s="5">
        <v>8034560000</v>
      </c>
      <c r="H10" t="s">
        <v>55</v>
      </c>
      <c r="I10" t="s">
        <v>55</v>
      </c>
      <c r="J10" s="1">
        <v>45201</v>
      </c>
      <c r="K10" s="1">
        <v>45201</v>
      </c>
      <c r="L10">
        <v>0</v>
      </c>
      <c r="M10" s="3">
        <v>0</v>
      </c>
      <c r="N10" t="s">
        <v>30</v>
      </c>
      <c r="O10" t="str">
        <f t="shared" si="2"/>
        <v>Female</v>
      </c>
      <c r="P10">
        <v>41</v>
      </c>
      <c r="Q10" s="4">
        <f>IF(OR(P10&lt;10,P10&gt;100),AVERAGE(P$1:P$1048575),P10)</f>
        <v>41</v>
      </c>
    </row>
    <row r="11" spans="1:17" x14ac:dyDescent="0.25">
      <c r="A11" t="s">
        <v>56</v>
      </c>
      <c r="B11" t="s">
        <v>57</v>
      </c>
      <c r="C11" t="str">
        <f t="shared" si="0"/>
        <v>Michael Stone</v>
      </c>
      <c r="D11" t="s">
        <v>58</v>
      </c>
      <c r="E11" t="str">
        <f t="shared" si="1"/>
        <v>michaelstone@gmail.com</v>
      </c>
      <c r="F11" t="s">
        <v>59</v>
      </c>
      <c r="G11" s="5" t="s">
        <v>59</v>
      </c>
      <c r="H11" t="s">
        <v>55</v>
      </c>
      <c r="I11" t="s">
        <v>55</v>
      </c>
      <c r="J11" t="s">
        <v>60</v>
      </c>
      <c r="K11" s="1">
        <v>44972</v>
      </c>
      <c r="L11">
        <v>900</v>
      </c>
      <c r="M11" s="3">
        <v>900</v>
      </c>
      <c r="N11" t="s">
        <v>14</v>
      </c>
      <c r="O11" t="str">
        <f t="shared" si="2"/>
        <v>Male</v>
      </c>
      <c r="P11">
        <v>38</v>
      </c>
      <c r="Q11" s="4">
        <f>IF(OR(P11&lt;10,P11&gt;100),AVERAGE(P$1:P$1048575),P11)</f>
        <v>38</v>
      </c>
    </row>
    <row r="12" spans="1:17" x14ac:dyDescent="0.25">
      <c r="A12" t="s">
        <v>61</v>
      </c>
      <c r="B12" t="s">
        <v>62</v>
      </c>
      <c r="C12" t="str">
        <f t="shared" si="0"/>
        <v>Rachel Adams</v>
      </c>
      <c r="E12" t="str">
        <f t="shared" si="1"/>
        <v>Not Provided</v>
      </c>
      <c r="F12" t="s">
        <v>63</v>
      </c>
      <c r="G12" s="5" t="s">
        <v>63</v>
      </c>
      <c r="H12" t="s">
        <v>34</v>
      </c>
      <c r="I12" t="s">
        <v>34</v>
      </c>
      <c r="J12" t="s">
        <v>64</v>
      </c>
      <c r="K12" s="3" t="s">
        <v>64</v>
      </c>
      <c r="L12">
        <v>500</v>
      </c>
      <c r="M12" s="3">
        <v>500</v>
      </c>
      <c r="N12" t="s">
        <v>18</v>
      </c>
      <c r="O12" t="str">
        <f t="shared" si="2"/>
        <v>Female</v>
      </c>
      <c r="P12" t="s">
        <v>65</v>
      </c>
      <c r="Q12" s="4">
        <f>IF(OR(P12&lt;10,P12&gt;100),AVERAGE(P$1:P$1048575),P12)</f>
        <v>47</v>
      </c>
    </row>
    <row r="13" spans="1:17" x14ac:dyDescent="0.25">
      <c r="A13" t="s">
        <v>66</v>
      </c>
      <c r="B13" t="s">
        <v>67</v>
      </c>
      <c r="C13" t="str">
        <f t="shared" si="0"/>
        <v>David Gold</v>
      </c>
      <c r="D13" t="s">
        <v>68</v>
      </c>
      <c r="E13" t="str">
        <f t="shared" si="1"/>
        <v>davidgold@gmail.com</v>
      </c>
      <c r="F13">
        <v>8031234567</v>
      </c>
      <c r="G13" s="5">
        <v>8031234567</v>
      </c>
      <c r="H13" t="s">
        <v>13</v>
      </c>
      <c r="I13" t="s">
        <v>13</v>
      </c>
      <c r="J13" s="1">
        <v>44975</v>
      </c>
      <c r="K13" s="1">
        <v>44975</v>
      </c>
      <c r="L13">
        <v>800</v>
      </c>
      <c r="M13" s="3">
        <v>800</v>
      </c>
      <c r="N13" t="s">
        <v>14</v>
      </c>
      <c r="O13" t="str">
        <f t="shared" si="2"/>
        <v>Male</v>
      </c>
      <c r="P13">
        <v>52</v>
      </c>
      <c r="Q13" s="4">
        <f>IF(OR(P13&lt;10,P13&gt;100),AVERAGE(P$1:P$1048575),P13)</f>
        <v>52</v>
      </c>
    </row>
    <row r="14" spans="1:17" x14ac:dyDescent="0.25">
      <c r="A14" t="s">
        <v>70</v>
      </c>
      <c r="B14" t="s">
        <v>71</v>
      </c>
      <c r="C14" t="str">
        <f t="shared" si="0"/>
        <v>Sarah Mills</v>
      </c>
      <c r="D14" t="s">
        <v>72</v>
      </c>
      <c r="E14" t="str">
        <f t="shared" si="1"/>
        <v>sarahmills@gmail.com</v>
      </c>
      <c r="F14">
        <v>8039876543</v>
      </c>
      <c r="G14" s="5">
        <v>8039876543</v>
      </c>
      <c r="H14" t="s">
        <v>13</v>
      </c>
      <c r="I14" t="s">
        <v>13</v>
      </c>
      <c r="J14" t="s">
        <v>73</v>
      </c>
      <c r="K14" s="3" t="s">
        <v>73</v>
      </c>
      <c r="L14">
        <v>450</v>
      </c>
      <c r="M14" s="3">
        <v>450</v>
      </c>
      <c r="N14" t="s">
        <v>18</v>
      </c>
      <c r="O14" t="str">
        <f t="shared" si="2"/>
        <v>Female</v>
      </c>
      <c r="P14">
        <v>27</v>
      </c>
      <c r="Q14" s="4">
        <f>IF(OR(P14&lt;10,P14&gt;100),AVERAGE(P$1:P$1048575),P14)</f>
        <v>27</v>
      </c>
    </row>
    <row r="15" spans="1:17" x14ac:dyDescent="0.25">
      <c r="A15" t="s">
        <v>74</v>
      </c>
      <c r="B15" t="s">
        <v>75</v>
      </c>
      <c r="C15" t="str">
        <f t="shared" si="0"/>
        <v>Chris Paul</v>
      </c>
      <c r="D15" t="s">
        <v>76</v>
      </c>
      <c r="E15" t="str">
        <f t="shared" si="1"/>
        <v>chrispaul@gmail.com</v>
      </c>
      <c r="F15">
        <v>8031239876</v>
      </c>
      <c r="G15" s="5">
        <v>8031239876</v>
      </c>
      <c r="H15" t="s">
        <v>13</v>
      </c>
      <c r="I15" t="s">
        <v>13</v>
      </c>
      <c r="J15" s="1">
        <v>44977</v>
      </c>
      <c r="K15" s="1">
        <v>44977</v>
      </c>
      <c r="L15">
        <v>500</v>
      </c>
      <c r="M15" s="3">
        <v>500</v>
      </c>
      <c r="N15" t="s">
        <v>25</v>
      </c>
      <c r="O15" t="str">
        <f t="shared" si="2"/>
        <v>Male</v>
      </c>
      <c r="P15">
        <v>35</v>
      </c>
      <c r="Q15" s="4">
        <f>IF(OR(P15&lt;10,P15&gt;100),AVERAGE(P$1:P$1048575),P15)</f>
        <v>35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2C8C0-D91D-4139-9E61-59FDFFB6C58E}">
  <dimension ref="A3:B8"/>
  <sheetViews>
    <sheetView workbookViewId="0">
      <selection activeCell="B6" sqref="B6"/>
    </sheetView>
  </sheetViews>
  <sheetFormatPr defaultRowHeight="15" x14ac:dyDescent="0.25"/>
  <cols>
    <col min="1" max="1" width="13.140625" bestFit="1" customWidth="1"/>
    <col min="2" max="2" width="20.5703125" bestFit="1" customWidth="1"/>
  </cols>
  <sheetData>
    <row r="3" spans="1:2" x14ac:dyDescent="0.25">
      <c r="A3" s="24" t="s">
        <v>95</v>
      </c>
      <c r="B3" t="s">
        <v>97</v>
      </c>
    </row>
    <row r="4" spans="1:2" x14ac:dyDescent="0.25">
      <c r="A4" s="25" t="s">
        <v>55</v>
      </c>
      <c r="B4" s="6">
        <v>900</v>
      </c>
    </row>
    <row r="5" spans="1:2" x14ac:dyDescent="0.25">
      <c r="A5" s="25" t="s">
        <v>13</v>
      </c>
      <c r="B5" s="6">
        <v>3150</v>
      </c>
    </row>
    <row r="6" spans="1:2" x14ac:dyDescent="0.25">
      <c r="A6" s="25" t="s">
        <v>34</v>
      </c>
      <c r="B6" s="6">
        <v>850</v>
      </c>
    </row>
    <row r="7" spans="1:2" x14ac:dyDescent="0.25">
      <c r="A7" s="25" t="s">
        <v>22</v>
      </c>
      <c r="B7" s="6">
        <v>1550</v>
      </c>
    </row>
    <row r="8" spans="1:2" x14ac:dyDescent="0.25">
      <c r="A8" s="25" t="s">
        <v>96</v>
      </c>
      <c r="B8" s="6">
        <v>6450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28D1A-374A-415E-B9EB-15ECBC3365A4}">
  <dimension ref="A3:B6"/>
  <sheetViews>
    <sheetView workbookViewId="0">
      <selection activeCell="B5" sqref="B5"/>
    </sheetView>
  </sheetViews>
  <sheetFormatPr defaultRowHeight="15" x14ac:dyDescent="0.25"/>
  <cols>
    <col min="1" max="1" width="13.140625" bestFit="1" customWidth="1"/>
    <col min="2" max="2" width="20.5703125" bestFit="1" customWidth="1"/>
  </cols>
  <sheetData>
    <row r="3" spans="1:2" x14ac:dyDescent="0.25">
      <c r="A3" s="24" t="s">
        <v>95</v>
      </c>
      <c r="B3" t="s">
        <v>97</v>
      </c>
    </row>
    <row r="4" spans="1:2" x14ac:dyDescent="0.25">
      <c r="A4" s="25" t="s">
        <v>18</v>
      </c>
      <c r="B4" s="6">
        <v>2350</v>
      </c>
    </row>
    <row r="5" spans="1:2" x14ac:dyDescent="0.25">
      <c r="A5" s="25" t="s">
        <v>25</v>
      </c>
      <c r="B5" s="6">
        <v>4100</v>
      </c>
    </row>
    <row r="6" spans="1:2" x14ac:dyDescent="0.25">
      <c r="A6" s="25" t="s">
        <v>96</v>
      </c>
      <c r="B6" s="6">
        <v>6450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90946-935D-4035-8ED8-7DF27A0A932B}">
  <dimension ref="A3:B18"/>
  <sheetViews>
    <sheetView workbookViewId="0">
      <selection activeCell="B6" sqref="B6"/>
    </sheetView>
  </sheetViews>
  <sheetFormatPr defaultRowHeight="15" x14ac:dyDescent="0.25"/>
  <cols>
    <col min="1" max="1" width="13.140625" bestFit="1" customWidth="1"/>
    <col min="2" max="2" width="20.5703125" bestFit="1" customWidth="1"/>
  </cols>
  <sheetData>
    <row r="3" spans="1:2" x14ac:dyDescent="0.25">
      <c r="A3" s="24" t="s">
        <v>95</v>
      </c>
      <c r="B3" t="s">
        <v>97</v>
      </c>
    </row>
    <row r="4" spans="1:2" x14ac:dyDescent="0.25">
      <c r="A4" s="25" t="s">
        <v>64</v>
      </c>
      <c r="B4" s="6">
        <v>500</v>
      </c>
    </row>
    <row r="5" spans="1:2" x14ac:dyDescent="0.25">
      <c r="A5" s="25" t="s">
        <v>23</v>
      </c>
      <c r="B5" s="6">
        <v>450</v>
      </c>
    </row>
    <row r="6" spans="1:2" x14ac:dyDescent="0.25">
      <c r="A6" s="25" t="s">
        <v>73</v>
      </c>
      <c r="B6" s="6">
        <v>450</v>
      </c>
    </row>
    <row r="7" spans="1:2" x14ac:dyDescent="0.25">
      <c r="A7" s="26">
        <v>44941</v>
      </c>
      <c r="B7" s="6">
        <v>300</v>
      </c>
    </row>
    <row r="8" spans="1:2" x14ac:dyDescent="0.25">
      <c r="A8" s="26">
        <v>44946</v>
      </c>
      <c r="B8" s="6">
        <v>700</v>
      </c>
    </row>
    <row r="9" spans="1:2" x14ac:dyDescent="0.25">
      <c r="A9" s="26">
        <v>44951</v>
      </c>
      <c r="B9" s="6">
        <v>350</v>
      </c>
    </row>
    <row r="10" spans="1:2" x14ac:dyDescent="0.25">
      <c r="A10" s="26">
        <v>44958</v>
      </c>
      <c r="B10" s="6">
        <v>400</v>
      </c>
    </row>
    <row r="11" spans="1:2" x14ac:dyDescent="0.25">
      <c r="A11" s="26">
        <v>44962</v>
      </c>
      <c r="B11" s="6"/>
    </row>
    <row r="12" spans="1:2" x14ac:dyDescent="0.25">
      <c r="A12" s="26">
        <v>44967</v>
      </c>
      <c r="B12" s="6">
        <v>600</v>
      </c>
    </row>
    <row r="13" spans="1:2" x14ac:dyDescent="0.25">
      <c r="A13" s="26">
        <v>44972</v>
      </c>
      <c r="B13" s="6">
        <v>900</v>
      </c>
    </row>
    <row r="14" spans="1:2" x14ac:dyDescent="0.25">
      <c r="A14" s="26">
        <v>44975</v>
      </c>
      <c r="B14" s="6">
        <v>800</v>
      </c>
    </row>
    <row r="15" spans="1:2" x14ac:dyDescent="0.25">
      <c r="A15" s="26">
        <v>44977</v>
      </c>
      <c r="B15" s="6">
        <v>500</v>
      </c>
    </row>
    <row r="16" spans="1:2" x14ac:dyDescent="0.25">
      <c r="A16" s="26">
        <v>45201</v>
      </c>
      <c r="B16" s="6">
        <v>0</v>
      </c>
    </row>
    <row r="17" spans="1:2" x14ac:dyDescent="0.25">
      <c r="A17" s="26">
        <v>45261</v>
      </c>
      <c r="B17" s="6">
        <v>500</v>
      </c>
    </row>
    <row r="18" spans="1:2" x14ac:dyDescent="0.25">
      <c r="A18" s="25" t="s">
        <v>96</v>
      </c>
      <c r="B18" s="6">
        <v>6450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EA0E4-AAF3-4E4D-9158-8BCF4EC89584}">
  <dimension ref="A1:I15"/>
  <sheetViews>
    <sheetView zoomScale="85" zoomScaleNormal="85" workbookViewId="0">
      <selection activeCell="D10" sqref="D10"/>
    </sheetView>
  </sheetViews>
  <sheetFormatPr defaultRowHeight="15" x14ac:dyDescent="0.25"/>
  <cols>
    <col min="1" max="1" width="13.42578125" customWidth="1"/>
    <col min="2" max="2" width="17" customWidth="1"/>
    <col min="3" max="3" width="25.28515625" customWidth="1"/>
    <col min="4" max="4" width="16.85546875" style="5" customWidth="1"/>
    <col min="5" max="5" width="16" customWidth="1"/>
    <col min="6" max="6" width="19.28515625" style="1" customWidth="1"/>
    <col min="7" max="7" width="19.7109375" customWidth="1"/>
    <col min="8" max="8" width="14.7109375" customWidth="1"/>
  </cols>
  <sheetData>
    <row r="1" spans="1:9" s="7" customFormat="1" ht="15.75" x14ac:dyDescent="0.25">
      <c r="A1" s="12" t="s">
        <v>0</v>
      </c>
      <c r="B1" s="13" t="s">
        <v>1</v>
      </c>
      <c r="C1" s="13" t="s">
        <v>2</v>
      </c>
      <c r="D1" s="8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4" t="s">
        <v>8</v>
      </c>
    </row>
    <row r="2" spans="1:9" x14ac:dyDescent="0.25">
      <c r="A2" s="15" t="s">
        <v>15</v>
      </c>
      <c r="B2" s="16" t="s">
        <v>87</v>
      </c>
      <c r="C2" s="16" t="s">
        <v>93</v>
      </c>
      <c r="D2" s="9">
        <v>234803567890</v>
      </c>
      <c r="E2" s="16" t="s">
        <v>13</v>
      </c>
      <c r="F2" s="17">
        <v>44941</v>
      </c>
      <c r="G2" s="16">
        <v>300</v>
      </c>
      <c r="H2" s="16" t="s">
        <v>18</v>
      </c>
      <c r="I2" s="18">
        <v>29</v>
      </c>
    </row>
    <row r="3" spans="1:9" x14ac:dyDescent="0.25">
      <c r="A3" s="15" t="s">
        <v>19</v>
      </c>
      <c r="B3" s="16" t="s">
        <v>20</v>
      </c>
      <c r="C3" s="16" t="s">
        <v>21</v>
      </c>
      <c r="D3" s="9">
        <v>8034567890</v>
      </c>
      <c r="E3" s="16" t="s">
        <v>22</v>
      </c>
      <c r="F3" s="10" t="s">
        <v>23</v>
      </c>
      <c r="G3" s="16">
        <v>450</v>
      </c>
      <c r="H3" s="16" t="s">
        <v>25</v>
      </c>
      <c r="I3" s="18">
        <v>45</v>
      </c>
    </row>
    <row r="4" spans="1:9" x14ac:dyDescent="0.25">
      <c r="A4" s="15" t="s">
        <v>26</v>
      </c>
      <c r="B4" s="16" t="s">
        <v>88</v>
      </c>
      <c r="C4" s="16" t="s">
        <v>28</v>
      </c>
      <c r="D4" s="9">
        <v>8034567890</v>
      </c>
      <c r="E4" s="16" t="s">
        <v>22</v>
      </c>
      <c r="F4" s="17">
        <v>44946</v>
      </c>
      <c r="G4" s="16">
        <v>700</v>
      </c>
      <c r="H4" s="16" t="s">
        <v>18</v>
      </c>
      <c r="I4" s="18">
        <v>47</v>
      </c>
    </row>
    <row r="5" spans="1:9" x14ac:dyDescent="0.25">
      <c r="A5" s="15" t="s">
        <v>31</v>
      </c>
      <c r="B5" s="16" t="s">
        <v>89</v>
      </c>
      <c r="C5" s="16" t="s">
        <v>33</v>
      </c>
      <c r="D5" s="9"/>
      <c r="E5" s="16" t="s">
        <v>34</v>
      </c>
      <c r="F5" s="17">
        <v>44951</v>
      </c>
      <c r="G5" s="16">
        <v>350</v>
      </c>
      <c r="H5" s="16" t="s">
        <v>25</v>
      </c>
      <c r="I5" s="18">
        <v>34</v>
      </c>
    </row>
    <row r="6" spans="1:9" x14ac:dyDescent="0.25">
      <c r="A6" s="15" t="s">
        <v>36</v>
      </c>
      <c r="B6" s="16" t="s">
        <v>37</v>
      </c>
      <c r="C6" s="16" t="s">
        <v>38</v>
      </c>
      <c r="D6" s="9">
        <v>803456789</v>
      </c>
      <c r="E6" s="16" t="s">
        <v>13</v>
      </c>
      <c r="F6" s="17">
        <v>45261</v>
      </c>
      <c r="G6" s="16">
        <v>500</v>
      </c>
      <c r="H6" s="16" t="s">
        <v>25</v>
      </c>
      <c r="I6" s="18">
        <v>25</v>
      </c>
    </row>
    <row r="7" spans="1:9" x14ac:dyDescent="0.25">
      <c r="A7" s="15" t="s">
        <v>39</v>
      </c>
      <c r="B7" s="16" t="s">
        <v>90</v>
      </c>
      <c r="C7" s="16" t="s">
        <v>41</v>
      </c>
      <c r="D7" s="9"/>
      <c r="E7" s="16" t="s">
        <v>22</v>
      </c>
      <c r="F7" s="17">
        <v>44958</v>
      </c>
      <c r="G7" s="16">
        <v>400</v>
      </c>
      <c r="H7" s="16" t="s">
        <v>18</v>
      </c>
      <c r="I7" s="18">
        <v>47</v>
      </c>
    </row>
    <row r="8" spans="1:9" x14ac:dyDescent="0.25">
      <c r="A8" s="15" t="s">
        <v>44</v>
      </c>
      <c r="B8" s="16" t="s">
        <v>91</v>
      </c>
      <c r="C8" s="16" t="s">
        <v>45</v>
      </c>
      <c r="D8" s="9" t="s">
        <v>46</v>
      </c>
      <c r="E8" s="16" t="s">
        <v>13</v>
      </c>
      <c r="F8" s="17">
        <v>44962</v>
      </c>
      <c r="G8" s="16"/>
      <c r="H8" s="16" t="s">
        <v>25</v>
      </c>
      <c r="I8" s="18">
        <v>30</v>
      </c>
    </row>
    <row r="9" spans="1:9" x14ac:dyDescent="0.25">
      <c r="A9" s="15" t="s">
        <v>48</v>
      </c>
      <c r="B9" s="16" t="s">
        <v>92</v>
      </c>
      <c r="C9" s="16" t="s">
        <v>50</v>
      </c>
      <c r="D9" s="9">
        <v>8034561234</v>
      </c>
      <c r="E9" s="16" t="s">
        <v>13</v>
      </c>
      <c r="F9" s="17">
        <v>44967</v>
      </c>
      <c r="G9" s="16">
        <v>600</v>
      </c>
      <c r="H9" s="16" t="s">
        <v>25</v>
      </c>
      <c r="I9" s="18">
        <v>47</v>
      </c>
    </row>
    <row r="10" spans="1:9" x14ac:dyDescent="0.25">
      <c r="A10" s="15" t="s">
        <v>52</v>
      </c>
      <c r="B10" s="16" t="s">
        <v>53</v>
      </c>
      <c r="C10" s="16" t="s">
        <v>54</v>
      </c>
      <c r="D10" s="9">
        <v>8034560000</v>
      </c>
      <c r="E10" s="16" t="s">
        <v>55</v>
      </c>
      <c r="F10" s="17">
        <v>45201</v>
      </c>
      <c r="G10" s="16">
        <v>0</v>
      </c>
      <c r="H10" s="16" t="s">
        <v>18</v>
      </c>
      <c r="I10" s="18">
        <v>41</v>
      </c>
    </row>
    <row r="11" spans="1:9" x14ac:dyDescent="0.25">
      <c r="A11" s="15" t="s">
        <v>56</v>
      </c>
      <c r="B11" s="16" t="s">
        <v>57</v>
      </c>
      <c r="C11" s="16" t="s">
        <v>58</v>
      </c>
      <c r="D11" s="9" t="s">
        <v>59</v>
      </c>
      <c r="E11" s="16" t="s">
        <v>55</v>
      </c>
      <c r="F11" s="17">
        <v>44972</v>
      </c>
      <c r="G11" s="16">
        <v>900</v>
      </c>
      <c r="H11" s="16" t="s">
        <v>25</v>
      </c>
      <c r="I11" s="18">
        <v>38</v>
      </c>
    </row>
    <row r="12" spans="1:9" x14ac:dyDescent="0.25">
      <c r="A12" s="15" t="s">
        <v>61</v>
      </c>
      <c r="B12" s="16" t="s">
        <v>62</v>
      </c>
      <c r="C12" s="16" t="s">
        <v>93</v>
      </c>
      <c r="D12" s="9" t="s">
        <v>63</v>
      </c>
      <c r="E12" s="16" t="s">
        <v>34</v>
      </c>
      <c r="F12" s="10" t="s">
        <v>64</v>
      </c>
      <c r="G12" s="16">
        <v>500</v>
      </c>
      <c r="H12" s="16" t="s">
        <v>18</v>
      </c>
      <c r="I12" s="18">
        <v>47</v>
      </c>
    </row>
    <row r="13" spans="1:9" x14ac:dyDescent="0.25">
      <c r="A13" s="15" t="s">
        <v>66</v>
      </c>
      <c r="B13" s="16" t="s">
        <v>67</v>
      </c>
      <c r="C13" s="16" t="s">
        <v>68</v>
      </c>
      <c r="D13" s="9">
        <v>8031234567</v>
      </c>
      <c r="E13" s="16" t="s">
        <v>13</v>
      </c>
      <c r="F13" s="17">
        <v>44975</v>
      </c>
      <c r="G13" s="16">
        <v>800</v>
      </c>
      <c r="H13" s="16" t="s">
        <v>25</v>
      </c>
      <c r="I13" s="18">
        <v>52</v>
      </c>
    </row>
    <row r="14" spans="1:9" x14ac:dyDescent="0.25">
      <c r="A14" s="15" t="s">
        <v>70</v>
      </c>
      <c r="B14" s="16" t="s">
        <v>71</v>
      </c>
      <c r="C14" s="16" t="s">
        <v>72</v>
      </c>
      <c r="D14" s="9">
        <v>8039876543</v>
      </c>
      <c r="E14" s="16" t="s">
        <v>13</v>
      </c>
      <c r="F14" s="10" t="s">
        <v>73</v>
      </c>
      <c r="G14" s="16">
        <v>450</v>
      </c>
      <c r="H14" s="16" t="s">
        <v>18</v>
      </c>
      <c r="I14" s="18">
        <v>27</v>
      </c>
    </row>
    <row r="15" spans="1:9" ht="15.75" thickBot="1" x14ac:dyDescent="0.3">
      <c r="A15" s="19" t="s">
        <v>74</v>
      </c>
      <c r="B15" s="20" t="s">
        <v>75</v>
      </c>
      <c r="C15" s="20" t="s">
        <v>76</v>
      </c>
      <c r="D15" s="11">
        <v>8031239876</v>
      </c>
      <c r="E15" s="20" t="s">
        <v>13</v>
      </c>
      <c r="F15" s="21">
        <v>44977</v>
      </c>
      <c r="G15" s="20">
        <v>500</v>
      </c>
      <c r="H15" s="20" t="s">
        <v>25</v>
      </c>
      <c r="I15" s="22">
        <v>35</v>
      </c>
    </row>
  </sheetData>
  <conditionalFormatting sqref="G1:G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I1048576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{2244470C-D9D3-428A-93BC-CDD33E679BA0}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244470C-D9D3-428A-93BC-CDD33E679B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I1:I1048576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6EA53-1017-41AF-99C5-9AA704E89F22}">
  <dimension ref="A1:P42"/>
  <sheetViews>
    <sheetView tabSelected="1" zoomScale="70" zoomScaleNormal="70" workbookViewId="0">
      <selection activeCell="R19" sqref="R19"/>
    </sheetView>
  </sheetViews>
  <sheetFormatPr defaultRowHeight="15" x14ac:dyDescent="0.25"/>
  <cols>
    <col min="1" max="1" width="16.28515625" customWidth="1"/>
    <col min="2" max="2" width="17.85546875" customWidth="1"/>
    <col min="5" max="5" width="18.28515625" customWidth="1"/>
    <col min="6" max="6" width="6.42578125" customWidth="1"/>
    <col min="8" max="8" width="38.7109375" customWidth="1"/>
  </cols>
  <sheetData>
    <row r="1" spans="1:16" ht="30.75" customHeight="1" x14ac:dyDescent="0.4">
      <c r="A1" s="28" t="s">
        <v>94</v>
      </c>
      <c r="B1" s="27"/>
      <c r="C1" s="27"/>
      <c r="D1" s="27"/>
      <c r="E1" s="27"/>
    </row>
    <row r="2" spans="1:16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6" ht="15.75" thickBot="1" x14ac:dyDescent="0.3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</row>
    <row r="4" spans="1:16" ht="23.25" customHeight="1" x14ac:dyDescent="0.35">
      <c r="A4" s="33"/>
      <c r="B4" s="34" t="s">
        <v>98</v>
      </c>
      <c r="C4" s="29"/>
      <c r="D4" s="33"/>
      <c r="E4" s="34" t="s">
        <v>99</v>
      </c>
      <c r="F4" s="35"/>
      <c r="G4" s="33"/>
      <c r="H4" s="34" t="s">
        <v>100</v>
      </c>
      <c r="I4" s="35"/>
      <c r="J4" s="38"/>
      <c r="K4" s="23"/>
      <c r="L4" s="23"/>
      <c r="M4" s="23"/>
      <c r="N4" s="23"/>
      <c r="O4" s="31"/>
      <c r="P4" s="31"/>
    </row>
    <row r="5" spans="1:16" ht="15" customHeight="1" x14ac:dyDescent="0.25">
      <c r="A5" s="15"/>
      <c r="B5" s="16">
        <f>SUM(Cleaned_Data!G:G)</f>
        <v>6450</v>
      </c>
      <c r="C5" s="16"/>
      <c r="D5" s="15"/>
      <c r="E5" s="16">
        <f>COUNTA(Cleaned_Data!A:A)</f>
        <v>15</v>
      </c>
      <c r="F5" s="18"/>
      <c r="G5" s="15"/>
      <c r="H5" s="36">
        <f>AVERAGE(Cleaned_Data!I:I)</f>
        <v>38.857142857142854</v>
      </c>
      <c r="I5" s="18"/>
      <c r="J5" s="38"/>
      <c r="K5" s="23"/>
      <c r="L5" s="23"/>
      <c r="M5" s="23"/>
      <c r="N5" s="23"/>
      <c r="O5" s="31"/>
      <c r="P5" s="31"/>
    </row>
    <row r="6" spans="1:16" ht="15" customHeight="1" thickBot="1" x14ac:dyDescent="0.3">
      <c r="A6" s="19"/>
      <c r="B6" s="20"/>
      <c r="C6" s="20"/>
      <c r="D6" s="19"/>
      <c r="E6" s="20"/>
      <c r="F6" s="22"/>
      <c r="G6" s="19"/>
      <c r="H6" s="20"/>
      <c r="I6" s="22"/>
      <c r="J6" s="38"/>
      <c r="K6" s="23"/>
      <c r="L6" s="23"/>
      <c r="M6" s="23"/>
      <c r="N6" s="23"/>
      <c r="O6" s="31"/>
      <c r="P6" s="31"/>
    </row>
    <row r="7" spans="1:16" ht="27" customHeight="1" x14ac:dyDescent="0.35">
      <c r="A7" s="40" t="s">
        <v>101</v>
      </c>
      <c r="B7" s="32"/>
      <c r="C7" s="32"/>
      <c r="D7" s="32"/>
      <c r="E7" s="32"/>
      <c r="F7" s="41" t="s">
        <v>102</v>
      </c>
      <c r="G7" s="37"/>
      <c r="H7" s="37"/>
      <c r="I7" s="37"/>
      <c r="J7" s="37"/>
      <c r="K7" s="37"/>
      <c r="L7" s="37"/>
      <c r="M7" s="37"/>
      <c r="N7" s="37"/>
      <c r="O7" s="31"/>
      <c r="P7" s="31"/>
    </row>
    <row r="8" spans="1:16" ht="15" customHeight="1" x14ac:dyDescent="0.25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31"/>
      <c r="P8" s="31"/>
    </row>
    <row r="9" spans="1:16" ht="15" customHeight="1" x14ac:dyDescent="0.25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31"/>
      <c r="P9" s="31"/>
    </row>
    <row r="10" spans="1:16" ht="15" customHeight="1" x14ac:dyDescent="0.25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31"/>
      <c r="P10" s="31"/>
    </row>
    <row r="11" spans="1:16" ht="15" customHeight="1" x14ac:dyDescent="0.2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31"/>
      <c r="P11" s="31"/>
    </row>
    <row r="12" spans="1:16" ht="15" customHeight="1" x14ac:dyDescent="0.2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31"/>
      <c r="P12" s="31"/>
    </row>
    <row r="13" spans="1:16" ht="15" customHeight="1" x14ac:dyDescent="0.2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31"/>
      <c r="P13" s="31"/>
    </row>
    <row r="14" spans="1:16" ht="15" customHeight="1" x14ac:dyDescent="0.25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31"/>
      <c r="P14" s="31"/>
    </row>
    <row r="15" spans="1:16" ht="15" customHeight="1" x14ac:dyDescent="0.2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31"/>
      <c r="P15" s="31"/>
    </row>
    <row r="16" spans="1:16" ht="15" customHeight="1" x14ac:dyDescent="0.2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31"/>
      <c r="P16" s="31"/>
    </row>
    <row r="17" spans="1:16" ht="15" customHeight="1" x14ac:dyDescent="0.25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31"/>
      <c r="P17" s="31"/>
    </row>
    <row r="18" spans="1:16" ht="15" customHeight="1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31"/>
      <c r="P18" s="31"/>
    </row>
    <row r="19" spans="1:16" ht="15" customHeight="1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31"/>
      <c r="P19" s="31"/>
    </row>
    <row r="20" spans="1:16" ht="15" customHeight="1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31"/>
      <c r="P20" s="31"/>
    </row>
    <row r="21" spans="1:16" ht="15" customHeight="1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31"/>
      <c r="P21" s="31"/>
    </row>
    <row r="22" spans="1:16" ht="24.75" customHeight="1" x14ac:dyDescent="0.35">
      <c r="A22" s="39" t="s">
        <v>103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1"/>
      <c r="P22" s="31"/>
    </row>
    <row r="23" spans="1:16" ht="15" customHeight="1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31"/>
      <c r="P23" s="31"/>
    </row>
    <row r="24" spans="1:16" ht="15" customHeight="1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31"/>
      <c r="P24" s="31"/>
    </row>
    <row r="25" spans="1:16" ht="15" customHeight="1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31"/>
      <c r="P25" s="31"/>
    </row>
    <row r="26" spans="1:16" ht="15" customHeight="1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31"/>
      <c r="P26" s="31"/>
    </row>
    <row r="27" spans="1:16" ht="15" customHeight="1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31"/>
      <c r="P27" s="31"/>
    </row>
    <row r="28" spans="1:16" ht="15" customHeight="1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31"/>
      <c r="P28" s="31"/>
    </row>
    <row r="29" spans="1:16" ht="15" customHeight="1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31"/>
      <c r="P29" s="31"/>
    </row>
    <row r="30" spans="1:16" ht="15" customHeight="1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31"/>
      <c r="P30" s="31"/>
    </row>
    <row r="31" spans="1:16" ht="15" customHeight="1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31"/>
      <c r="P31" s="31"/>
    </row>
    <row r="32" spans="1:16" ht="15" customHeight="1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31"/>
      <c r="P32" s="31"/>
    </row>
    <row r="33" spans="1:16" ht="15" customHeight="1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31"/>
      <c r="P33" s="31"/>
    </row>
    <row r="34" spans="1:16" ht="15" customHeight="1" x14ac:dyDescent="0.2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31"/>
      <c r="P34" s="31"/>
    </row>
    <row r="35" spans="1:16" ht="15" customHeight="1" x14ac:dyDescent="0.2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31"/>
      <c r="P35" s="31"/>
    </row>
    <row r="36" spans="1:16" ht="15" customHeight="1" x14ac:dyDescent="0.25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31"/>
      <c r="P36" s="31"/>
    </row>
    <row r="37" spans="1:16" ht="15" customHeight="1" x14ac:dyDescent="0.25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31"/>
      <c r="P37" s="31"/>
    </row>
    <row r="38" spans="1:16" ht="15" customHeight="1" x14ac:dyDescent="0.25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31"/>
      <c r="P38" s="31"/>
    </row>
    <row r="39" spans="1:16" x14ac:dyDescent="0.25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</row>
    <row r="40" spans="1:16" x14ac:dyDescent="0.25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</row>
    <row r="41" spans="1:16" x14ac:dyDescent="0.25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</row>
    <row r="42" spans="1:16" x14ac:dyDescent="0.25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</row>
  </sheetData>
  <mergeCells count="9">
    <mergeCell ref="J4:N6"/>
    <mergeCell ref="K7:N7"/>
    <mergeCell ref="A7:E7"/>
    <mergeCell ref="A8:N21"/>
    <mergeCell ref="A23:N42"/>
    <mergeCell ref="A22:N22"/>
    <mergeCell ref="F7:J7"/>
    <mergeCell ref="A1:E1"/>
    <mergeCell ref="A2:L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Raw_Data</vt:lpstr>
      <vt:lpstr>Cleaning_Data</vt:lpstr>
      <vt:lpstr>Sheet7</vt:lpstr>
      <vt:lpstr>Sheet8</vt:lpstr>
      <vt:lpstr>Sheet9</vt:lpstr>
      <vt:lpstr>Cleaned_Data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Love Sam</dc:creator>
  <cp:lastModifiedBy>Love Sam</cp:lastModifiedBy>
  <cp:lastPrinted>2026-01-21T13:27:04Z</cp:lastPrinted>
  <dcterms:created xsi:type="dcterms:W3CDTF">2026-01-17T19:47:44Z</dcterms:created>
  <dcterms:modified xsi:type="dcterms:W3CDTF">2026-01-21T13:27:17Z</dcterms:modified>
</cp:coreProperties>
</file>